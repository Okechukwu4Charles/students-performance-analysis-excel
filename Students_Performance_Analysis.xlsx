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HP-PC\Desktop\Actual Excel Projects\"/>
    </mc:Choice>
  </mc:AlternateContent>
  <xr:revisionPtr revIDLastSave="0" documentId="13_ncr:1_{02B2D4FB-3F66-493B-B7FD-0BC3419FA0B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erformance Record Sheet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1" l="1"/>
  <c r="O26" i="1"/>
  <c r="N26" i="1"/>
  <c r="M26" i="1"/>
  <c r="L26" i="1"/>
  <c r="K26" i="1"/>
  <c r="J26" i="1"/>
  <c r="H26" i="1"/>
  <c r="G26" i="1"/>
  <c r="F26" i="1"/>
  <c r="E26" i="1"/>
  <c r="D26" i="1"/>
  <c r="C26" i="1"/>
  <c r="P25" i="1"/>
  <c r="O25" i="1"/>
  <c r="N25" i="1"/>
  <c r="M25" i="1"/>
  <c r="L25" i="1"/>
  <c r="K25" i="1"/>
  <c r="J25" i="1"/>
  <c r="H25" i="1"/>
  <c r="G25" i="1"/>
  <c r="F25" i="1"/>
  <c r="E25" i="1"/>
  <c r="D25" i="1"/>
  <c r="C25" i="1"/>
  <c r="P24" i="1"/>
  <c r="O24" i="1"/>
  <c r="N24" i="1"/>
  <c r="M24" i="1"/>
  <c r="L24" i="1"/>
  <c r="K24" i="1"/>
  <c r="J24" i="1"/>
  <c r="H24" i="1"/>
  <c r="G24" i="1"/>
  <c r="F24" i="1"/>
  <c r="E24" i="1"/>
  <c r="D24" i="1"/>
  <c r="C24" i="1"/>
  <c r="Q21" i="1"/>
  <c r="P21" i="1"/>
  <c r="O21" i="1"/>
  <c r="N21" i="1"/>
  <c r="M21" i="1"/>
  <c r="L21" i="1"/>
  <c r="K21" i="1"/>
  <c r="J21" i="1"/>
  <c r="Q20" i="1"/>
  <c r="P20" i="1"/>
  <c r="O20" i="1"/>
  <c r="N20" i="1"/>
  <c r="M20" i="1"/>
  <c r="L20" i="1"/>
  <c r="K20" i="1"/>
  <c r="J20" i="1"/>
  <c r="Q19" i="1"/>
  <c r="P19" i="1"/>
  <c r="O19" i="1"/>
  <c r="N19" i="1"/>
  <c r="M19" i="1"/>
  <c r="L19" i="1"/>
  <c r="K19" i="1"/>
  <c r="J19" i="1"/>
  <c r="Q18" i="1"/>
  <c r="P18" i="1"/>
  <c r="O18" i="1"/>
  <c r="N18" i="1"/>
  <c r="M18" i="1"/>
  <c r="L18" i="1"/>
  <c r="K18" i="1"/>
  <c r="J18" i="1"/>
  <c r="Q17" i="1"/>
  <c r="P17" i="1"/>
  <c r="O17" i="1"/>
  <c r="N17" i="1"/>
  <c r="M17" i="1"/>
  <c r="L17" i="1"/>
  <c r="K17" i="1"/>
  <c r="J17" i="1"/>
  <c r="Q16" i="1"/>
  <c r="P16" i="1"/>
  <c r="O16" i="1"/>
  <c r="N16" i="1"/>
  <c r="M16" i="1"/>
  <c r="L16" i="1"/>
  <c r="K16" i="1"/>
  <c r="J16" i="1"/>
  <c r="Q15" i="1"/>
  <c r="P15" i="1"/>
  <c r="O15" i="1"/>
  <c r="N15" i="1"/>
  <c r="M15" i="1"/>
  <c r="L15" i="1"/>
  <c r="K15" i="1"/>
  <c r="J15" i="1"/>
  <c r="Q14" i="1"/>
  <c r="P14" i="1"/>
  <c r="O14" i="1"/>
  <c r="N14" i="1"/>
  <c r="M14" i="1"/>
  <c r="L14" i="1"/>
  <c r="K14" i="1"/>
  <c r="J14" i="1"/>
  <c r="Q13" i="1"/>
  <c r="P13" i="1"/>
  <c r="O13" i="1"/>
  <c r="N13" i="1"/>
  <c r="M13" i="1"/>
  <c r="L13" i="1"/>
  <c r="K13" i="1"/>
  <c r="J13" i="1"/>
  <c r="Q12" i="1"/>
  <c r="P12" i="1"/>
  <c r="O12" i="1"/>
  <c r="N12" i="1"/>
  <c r="M12" i="1"/>
  <c r="L12" i="1"/>
  <c r="K12" i="1"/>
  <c r="J12" i="1"/>
  <c r="Q11" i="1"/>
  <c r="P11" i="1"/>
  <c r="O11" i="1"/>
  <c r="N11" i="1"/>
  <c r="M11" i="1"/>
  <c r="L11" i="1"/>
  <c r="K11" i="1"/>
  <c r="J11" i="1"/>
  <c r="Q10" i="1"/>
  <c r="P10" i="1"/>
  <c r="O10" i="1"/>
  <c r="N10" i="1"/>
  <c r="M10" i="1"/>
  <c r="L10" i="1"/>
  <c r="K10" i="1"/>
  <c r="J10" i="1"/>
  <c r="Q9" i="1"/>
  <c r="P9" i="1"/>
  <c r="O9" i="1"/>
  <c r="N9" i="1"/>
  <c r="M9" i="1"/>
  <c r="L9" i="1"/>
  <c r="K9" i="1"/>
  <c r="J9" i="1"/>
  <c r="Q8" i="1"/>
  <c r="P8" i="1"/>
  <c r="O8" i="1"/>
  <c r="N8" i="1"/>
  <c r="M8" i="1"/>
  <c r="L8" i="1"/>
  <c r="K8" i="1"/>
  <c r="J8" i="1"/>
  <c r="Q7" i="1"/>
  <c r="P7" i="1"/>
  <c r="O7" i="1"/>
  <c r="N7" i="1"/>
  <c r="M7" i="1"/>
  <c r="L7" i="1"/>
  <c r="K7" i="1"/>
  <c r="J7" i="1"/>
  <c r="Q6" i="1"/>
  <c r="P6" i="1"/>
  <c r="O6" i="1"/>
  <c r="N6" i="1"/>
  <c r="M6" i="1"/>
  <c r="L6" i="1"/>
  <c r="K6" i="1"/>
  <c r="J6" i="1"/>
  <c r="Q5" i="1"/>
  <c r="P5" i="1"/>
  <c r="O5" i="1"/>
  <c r="N5" i="1"/>
  <c r="M5" i="1"/>
  <c r="L5" i="1"/>
  <c r="K5" i="1"/>
  <c r="J5" i="1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</calcChain>
</file>

<file path=xl/sharedStrings.xml><?xml version="1.0" encoding="utf-8"?>
<sst xmlns="http://schemas.openxmlformats.org/spreadsheetml/2006/main" count="107" uniqueCount="75">
  <si>
    <t>STUDENTS PERFORMANCE ANALYTICS DASHBOARD</t>
  </si>
  <si>
    <t>GRADE BOOK</t>
  </si>
  <si>
    <t>Mathematics</t>
  </si>
  <si>
    <t>English</t>
  </si>
  <si>
    <t>Chemistry</t>
  </si>
  <si>
    <t>Economics</t>
  </si>
  <si>
    <t>Physics</t>
  </si>
  <si>
    <t>Biology</t>
  </si>
  <si>
    <t>Overall %</t>
  </si>
  <si>
    <t>Pass Or Fail</t>
  </si>
  <si>
    <t>Points Possible</t>
  </si>
  <si>
    <t>Last Name</t>
  </si>
  <si>
    <t>First Name</t>
  </si>
  <si>
    <t>Adebayo</t>
  </si>
  <si>
    <t>Michael</t>
  </si>
  <si>
    <t>Ibrahim</t>
  </si>
  <si>
    <t>Soliu</t>
  </si>
  <si>
    <t>Omotunde</t>
  </si>
  <si>
    <t>Taiwo</t>
  </si>
  <si>
    <t>Ayotunde</t>
  </si>
  <si>
    <t>Samuel</t>
  </si>
  <si>
    <t>Makinde</t>
  </si>
  <si>
    <t>Deborah</t>
  </si>
  <si>
    <t>Daniel</t>
  </si>
  <si>
    <t>Christian</t>
  </si>
  <si>
    <t>Casemiro</t>
  </si>
  <si>
    <t>Carlos</t>
  </si>
  <si>
    <t>Mbuemo</t>
  </si>
  <si>
    <t>Bryan</t>
  </si>
  <si>
    <t>Kane</t>
  </si>
  <si>
    <t>Harry</t>
  </si>
  <si>
    <t>Musiala</t>
  </si>
  <si>
    <t>Jamal</t>
  </si>
  <si>
    <t>Gnabry</t>
  </si>
  <si>
    <t>Serge</t>
  </si>
  <si>
    <t>Tah</t>
  </si>
  <si>
    <t>Jonathan</t>
  </si>
  <si>
    <t>Olise</t>
  </si>
  <si>
    <t>Kimmich</t>
  </si>
  <si>
    <t>Joshua</t>
  </si>
  <si>
    <t>Neuer</t>
  </si>
  <si>
    <t>Manuel</t>
  </si>
  <si>
    <t>Jackson</t>
  </si>
  <si>
    <t>Nicolas</t>
  </si>
  <si>
    <t>Martinez</t>
  </si>
  <si>
    <t>Lisandro</t>
  </si>
  <si>
    <t>Max</t>
  </si>
  <si>
    <t>Min</t>
  </si>
  <si>
    <t>Avr</t>
  </si>
  <si>
    <t>STUDENTS PERFORMANCE DASHBOARD</t>
  </si>
  <si>
    <t>KPI CARDS</t>
  </si>
  <si>
    <t>Average Performance Per Subjects</t>
  </si>
  <si>
    <t>Maths</t>
  </si>
  <si>
    <r>
      <rPr>
        <b/>
        <sz val="12"/>
        <color theme="1"/>
        <rFont val="Calibri"/>
        <charset val="134"/>
        <scheme val="minor"/>
      </rPr>
      <t>Total Students</t>
    </r>
    <r>
      <rPr>
        <sz val="12"/>
        <color theme="1"/>
        <rFont val="Calibri"/>
        <charset val="134"/>
        <scheme val="minor"/>
      </rPr>
      <t xml:space="preserve">
</t>
    </r>
    <r>
      <rPr>
        <b/>
        <sz val="18"/>
        <color theme="1"/>
        <rFont val="Calibri"/>
        <charset val="134"/>
        <scheme val="minor"/>
      </rPr>
      <t>17</t>
    </r>
    <r>
      <rPr>
        <sz val="12"/>
        <color theme="1"/>
        <rFont val="Calibri"/>
        <charset val="134"/>
        <scheme val="minor"/>
      </rPr>
      <t xml:space="preserve">
</t>
    </r>
  </si>
  <si>
    <r>
      <rPr>
        <b/>
        <sz val="12"/>
        <color theme="1"/>
        <rFont val="Calibri"/>
        <charset val="134"/>
        <scheme val="minor"/>
      </rPr>
      <t>Average Overall Score</t>
    </r>
    <r>
      <rPr>
        <sz val="12"/>
        <color theme="1"/>
        <rFont val="Calibri"/>
        <charset val="134"/>
        <scheme val="minor"/>
      </rPr>
      <t xml:space="preserve">
</t>
    </r>
    <r>
      <rPr>
        <b/>
        <sz val="18"/>
        <color theme="1"/>
        <rFont val="Calibri"/>
        <charset val="134"/>
        <scheme val="minor"/>
      </rPr>
      <t>74%</t>
    </r>
    <r>
      <rPr>
        <sz val="12"/>
        <color theme="1"/>
        <rFont val="Calibri"/>
        <charset val="134"/>
        <scheme val="minor"/>
      </rPr>
      <t xml:space="preserve">
</t>
    </r>
  </si>
  <si>
    <r>
      <rPr>
        <b/>
        <sz val="12"/>
        <color theme="1"/>
        <rFont val="Calibri"/>
        <charset val="134"/>
        <scheme val="minor"/>
      </rPr>
      <t>Highest Overall Score</t>
    </r>
    <r>
      <rPr>
        <sz val="12"/>
        <color theme="1"/>
        <rFont val="Calibri"/>
        <charset val="134"/>
        <scheme val="minor"/>
      </rPr>
      <t xml:space="preserve">
</t>
    </r>
    <r>
      <rPr>
        <b/>
        <sz val="18"/>
        <color theme="1"/>
        <rFont val="Calibri"/>
        <charset val="134"/>
        <scheme val="minor"/>
      </rPr>
      <t>93%</t>
    </r>
    <r>
      <rPr>
        <sz val="12"/>
        <color theme="1"/>
        <rFont val="Calibri"/>
        <charset val="134"/>
        <scheme val="minor"/>
      </rPr>
      <t xml:space="preserve">
</t>
    </r>
  </si>
  <si>
    <r>
      <rPr>
        <b/>
        <sz val="12"/>
        <color theme="1"/>
        <rFont val="Calibri"/>
        <charset val="134"/>
        <scheme val="minor"/>
      </rPr>
      <t>Lowest Overall Score</t>
    </r>
    <r>
      <rPr>
        <sz val="12"/>
        <color theme="1"/>
        <rFont val="Calibri"/>
        <charset val="134"/>
        <scheme val="minor"/>
      </rPr>
      <t xml:space="preserve">
</t>
    </r>
    <r>
      <rPr>
        <b/>
        <sz val="18"/>
        <color theme="1"/>
        <rFont val="Calibri"/>
        <charset val="134"/>
        <scheme val="minor"/>
      </rPr>
      <t>66%</t>
    </r>
    <r>
      <rPr>
        <sz val="12"/>
        <color theme="1"/>
        <rFont val="Calibri"/>
        <charset val="134"/>
        <scheme val="minor"/>
      </rPr>
      <t xml:space="preserve">
</t>
    </r>
  </si>
  <si>
    <r>
      <rPr>
        <b/>
        <sz val="12"/>
        <color theme="1"/>
        <rFont val="Calibri"/>
        <charset val="134"/>
        <scheme val="minor"/>
      </rPr>
      <t>Students Passed</t>
    </r>
    <r>
      <rPr>
        <sz val="12"/>
        <color theme="1"/>
        <rFont val="Calibri"/>
        <charset val="134"/>
        <scheme val="minor"/>
      </rPr>
      <t xml:space="preserve">
</t>
    </r>
    <r>
      <rPr>
        <b/>
        <sz val="18"/>
        <color theme="1"/>
        <rFont val="Calibri"/>
        <charset val="134"/>
        <scheme val="minor"/>
      </rPr>
      <t>12</t>
    </r>
    <r>
      <rPr>
        <sz val="12"/>
        <color theme="1"/>
        <rFont val="Calibri"/>
        <charset val="134"/>
        <scheme val="minor"/>
      </rPr>
      <t xml:space="preserve">
</t>
    </r>
  </si>
  <si>
    <r>
      <rPr>
        <b/>
        <sz val="12"/>
        <color theme="1"/>
        <rFont val="Calibri"/>
        <charset val="134"/>
        <scheme val="minor"/>
      </rPr>
      <t>Students Failed</t>
    </r>
    <r>
      <rPr>
        <sz val="12"/>
        <color theme="1"/>
        <rFont val="Calibri"/>
        <charset val="134"/>
        <scheme val="minor"/>
      </rPr>
      <t xml:space="preserve">
</t>
    </r>
    <r>
      <rPr>
        <b/>
        <sz val="18"/>
        <color theme="1"/>
        <rFont val="Calibri"/>
        <charset val="134"/>
        <scheme val="minor"/>
      </rPr>
      <t>5</t>
    </r>
  </si>
  <si>
    <t>Student Performance Ranking</t>
  </si>
  <si>
    <t>CHARTS</t>
  </si>
  <si>
    <t>Student</t>
  </si>
  <si>
    <t>Status</t>
  </si>
  <si>
    <t>Students</t>
  </si>
  <si>
    <t>Pass</t>
  </si>
  <si>
    <t>Fail</t>
  </si>
  <si>
    <t>Key Insight</t>
  </si>
  <si>
    <t>Top Performing Student:</t>
  </si>
  <si>
    <t>Harry Kane</t>
  </si>
  <si>
    <t>Lowest Performing Student:</t>
  </si>
  <si>
    <t>Jonathan Tah</t>
  </si>
  <si>
    <t>Best Performing Subject:</t>
  </si>
  <si>
    <t>Weakest Subject:</t>
  </si>
  <si>
    <t>Pass Rate:</t>
  </si>
  <si>
    <t>Class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</si>
</sst>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indexed="8"/>
      <name val="Calibri"/>
      <charset val="134"/>
    </font>
    <font>
      <b/>
      <sz val="16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8840296639912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8840296639912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9" fontId="4" fillId="0" borderId="0" xfId="0" applyNumberFormat="1" applyFont="1"/>
    <xf numFmtId="9" fontId="0" fillId="0" borderId="0" xfId="1" applyFont="1"/>
    <xf numFmtId="9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9" fontId="4" fillId="0" borderId="0" xfId="0" applyNumberFormat="1" applyFont="1" applyAlignment="1">
      <alignment horizontal="left"/>
    </xf>
    <xf numFmtId="0" fontId="0" fillId="0" borderId="0" xfId="0" applyAlignment="1">
      <alignment textRotation="90"/>
    </xf>
    <xf numFmtId="0" fontId="7" fillId="0" borderId="0" xfId="0" applyFont="1"/>
    <xf numFmtId="9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/>
    </xf>
    <xf numFmtId="0" fontId="3" fillId="4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vertical="top"/>
    </xf>
    <xf numFmtId="0" fontId="3" fillId="6" borderId="0" xfId="0" applyFont="1" applyFill="1" applyAlignment="1">
      <alignment horizontal="center" vertical="top" wrapText="1"/>
    </xf>
    <xf numFmtId="0" fontId="3" fillId="6" borderId="0" xfId="0" applyFont="1" applyFill="1" applyAlignment="1">
      <alignment horizontal="center" vertical="top"/>
    </xf>
    <xf numFmtId="0" fontId="3" fillId="7" borderId="0" xfId="0" applyFont="1" applyFill="1" applyAlignment="1">
      <alignment horizontal="center" vertical="top" wrapText="1"/>
    </xf>
    <xf numFmtId="0" fontId="3" fillId="7" borderId="0" xfId="0" applyFont="1" applyFill="1" applyAlignment="1">
      <alignment horizontal="center" vertical="top"/>
    </xf>
    <xf numFmtId="0" fontId="6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mruColors>
      <color rgb="FFFF5050"/>
      <color rgb="FFFF0000"/>
      <color rgb="FF9BF9CA"/>
      <color rgb="FFCCE8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Subjects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Dashboard!$N$4:$N$9</c:f>
              <c:strCache>
                <c:ptCount val="6"/>
                <c:pt idx="0">
                  <c:v>Maths</c:v>
                </c:pt>
                <c:pt idx="1">
                  <c:v>English</c:v>
                </c:pt>
                <c:pt idx="2">
                  <c:v>Chemistry</c:v>
                </c:pt>
                <c:pt idx="3">
                  <c:v>Economics</c:v>
                </c:pt>
                <c:pt idx="4">
                  <c:v>Physics</c:v>
                </c:pt>
                <c:pt idx="5">
                  <c:v>Biology</c:v>
                </c:pt>
              </c:strCache>
            </c:strRef>
          </c:cat>
          <c:val>
            <c:numRef>
              <c:f>Dashboard!$O$4:$O$9</c:f>
              <c:numCache>
                <c:formatCode>0%</c:formatCode>
                <c:ptCount val="6"/>
                <c:pt idx="0">
                  <c:v>0.74</c:v>
                </c:pt>
                <c:pt idx="1">
                  <c:v>0.75</c:v>
                </c:pt>
                <c:pt idx="2">
                  <c:v>0.78</c:v>
                </c:pt>
                <c:pt idx="3">
                  <c:v>0.79</c:v>
                </c:pt>
                <c:pt idx="4">
                  <c:v>0.71</c:v>
                </c:pt>
                <c:pt idx="5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3-4A24-8B1E-8283ACEC6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06048"/>
        <c:axId val="137607008"/>
      </c:barChart>
      <c:catAx>
        <c:axId val="13760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07008"/>
        <c:crosses val="autoZero"/>
        <c:auto val="1"/>
        <c:lblAlgn val="ctr"/>
        <c:lblOffset val="100"/>
        <c:noMultiLvlLbl val="0"/>
      </c:catAx>
      <c:valAx>
        <c:axId val="1376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0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d1a4e57-d571-4cab-a318-5f02774b6ae6}"/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Students</a:t>
            </a:r>
            <a:r>
              <a:rPr lang="en-GB" baseline="0"/>
              <a:t> Performance Ranking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Dashboard!$N$15:$N$31</c:f>
              <c:strCache>
                <c:ptCount val="17"/>
                <c:pt idx="0">
                  <c:v>Kane</c:v>
                </c:pt>
                <c:pt idx="1">
                  <c:v>Kimmich</c:v>
                </c:pt>
                <c:pt idx="2">
                  <c:v>Musiala</c:v>
                </c:pt>
                <c:pt idx="3">
                  <c:v>Casemiro</c:v>
                </c:pt>
                <c:pt idx="4">
                  <c:v>Mbuemo</c:v>
                </c:pt>
                <c:pt idx="5">
                  <c:v>Neuer</c:v>
                </c:pt>
                <c:pt idx="6">
                  <c:v>Ayotunde</c:v>
                </c:pt>
                <c:pt idx="7">
                  <c:v>Jackson</c:v>
                </c:pt>
                <c:pt idx="8">
                  <c:v>Adebayo</c:v>
                </c:pt>
                <c:pt idx="9">
                  <c:v>Martinez</c:v>
                </c:pt>
                <c:pt idx="10">
                  <c:v>Ibrahim</c:v>
                </c:pt>
                <c:pt idx="11">
                  <c:v>Gnabry</c:v>
                </c:pt>
                <c:pt idx="12">
                  <c:v>Omotunde</c:v>
                </c:pt>
                <c:pt idx="13">
                  <c:v>Daniel</c:v>
                </c:pt>
                <c:pt idx="14">
                  <c:v>Olise</c:v>
                </c:pt>
                <c:pt idx="15">
                  <c:v>Makinde</c:v>
                </c:pt>
                <c:pt idx="16">
                  <c:v>Tah</c:v>
                </c:pt>
              </c:strCache>
            </c:strRef>
          </c:cat>
          <c:val>
            <c:numRef>
              <c:f>Dashboard!$O$15:$O$31</c:f>
              <c:numCache>
                <c:formatCode>0%</c:formatCode>
                <c:ptCount val="17"/>
                <c:pt idx="0">
                  <c:v>0.93333333333333302</c:v>
                </c:pt>
                <c:pt idx="1">
                  <c:v>0.844444444444444</c:v>
                </c:pt>
                <c:pt idx="2">
                  <c:v>0.81111111111111101</c:v>
                </c:pt>
                <c:pt idx="3">
                  <c:v>0.76111111111111096</c:v>
                </c:pt>
                <c:pt idx="4">
                  <c:v>0.75</c:v>
                </c:pt>
                <c:pt idx="5">
                  <c:v>0.74444444444444402</c:v>
                </c:pt>
                <c:pt idx="6">
                  <c:v>0.72777777777777797</c:v>
                </c:pt>
                <c:pt idx="7">
                  <c:v>0.72777777777777797</c:v>
                </c:pt>
                <c:pt idx="8">
                  <c:v>0.72222222222222199</c:v>
                </c:pt>
                <c:pt idx="9">
                  <c:v>0.72222222222222199</c:v>
                </c:pt>
                <c:pt idx="10">
                  <c:v>0.71666666666666701</c:v>
                </c:pt>
                <c:pt idx="11">
                  <c:v>0.71111111111111103</c:v>
                </c:pt>
                <c:pt idx="12">
                  <c:v>0.69444444444444398</c:v>
                </c:pt>
                <c:pt idx="13">
                  <c:v>0.68333333333333302</c:v>
                </c:pt>
                <c:pt idx="14">
                  <c:v>0.67222222222222205</c:v>
                </c:pt>
                <c:pt idx="15">
                  <c:v>0.66111111111111098</c:v>
                </c:pt>
                <c:pt idx="16">
                  <c:v>0.66111111111111098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3-43D5-9605-A8ECFECA0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255344"/>
        <c:axId val="23235184"/>
      </c:barChart>
      <c:catAx>
        <c:axId val="23255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35184"/>
        <c:crosses val="autoZero"/>
        <c:auto val="1"/>
        <c:lblAlgn val="ctr"/>
        <c:lblOffset val="100"/>
        <c:noMultiLvlLbl val="0"/>
      </c:catAx>
      <c:valAx>
        <c:axId val="2323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5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f909fe6-50a1-4dd4-b44a-90902449aa1c}"/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Pass vs Fail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34-4402-B538-4CCB87EC47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34-4402-B538-4CCB87EC47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Dashboard!$N$35:$N$36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Dashboard!$O$35:$O$36</c:f>
              <c:numCache>
                <c:formatCode>General</c:formatCode>
                <c:ptCount val="2"/>
                <c:pt idx="0">
                  <c:v>12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34-4402-B538-4CCB87EC47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0795be-632b-4db7-9c32-94724e0b37da}"/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354894</xdr:colOff>
      <xdr:row>15</xdr:row>
      <xdr:rowOff>0</xdr:rowOff>
    </xdr:from>
    <xdr:to>
      <xdr:col>12</xdr:col>
      <xdr:colOff>91369</xdr:colOff>
      <xdr:row>28</xdr:row>
      <xdr:rowOff>97014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293158</xdr:colOff>
      <xdr:row>29</xdr:row>
      <xdr:rowOff>26812</xdr:rowOff>
    </xdr:from>
    <xdr:to>
      <xdr:col>9</xdr:col>
      <xdr:colOff>389193</xdr:colOff>
      <xdr:row>45</xdr:row>
      <xdr:rowOff>75108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-1</xdr:colOff>
      <xdr:row>15</xdr:row>
      <xdr:rowOff>19050</xdr:rowOff>
    </xdr:from>
    <xdr:to>
      <xdr:col>6</xdr:col>
      <xdr:colOff>211667</xdr:colOff>
      <xdr:row>28</xdr:row>
      <xdr:rowOff>79728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6"/>
  <sheetViews>
    <sheetView showGridLines="0" zoomScale="68" zoomScaleNormal="68" workbookViewId="0">
      <selection activeCell="Q5" sqref="Q5"/>
    </sheetView>
  </sheetViews>
  <sheetFormatPr defaultColWidth="9" defaultRowHeight="14.5"/>
  <cols>
    <col min="2" max="2" width="13.1796875" customWidth="1"/>
    <col min="3" max="3" width="3.90625" customWidth="1"/>
    <col min="4" max="4" width="4.26953125" customWidth="1"/>
    <col min="5" max="5" width="4.08984375" customWidth="1"/>
    <col min="6" max="8" width="3.453125" customWidth="1"/>
  </cols>
  <sheetData>
    <row r="1" spans="1:33" ht="2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1:33" ht="80" customHeight="1">
      <c r="A2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J2" s="11" t="s">
        <v>2</v>
      </c>
      <c r="K2" s="11" t="s">
        <v>3</v>
      </c>
      <c r="L2" s="11" t="s">
        <v>4</v>
      </c>
      <c r="M2" s="11" t="s">
        <v>5</v>
      </c>
      <c r="N2" s="11" t="s">
        <v>6</v>
      </c>
      <c r="O2" s="11" t="s">
        <v>7</v>
      </c>
      <c r="P2" s="11" t="s">
        <v>8</v>
      </c>
      <c r="Q2" s="11" t="s">
        <v>9</v>
      </c>
      <c r="R2" s="11"/>
      <c r="T2" s="11"/>
    </row>
    <row r="3" spans="1:33">
      <c r="B3" t="s">
        <v>10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J3" s="3"/>
    </row>
    <row r="4" spans="1:33">
      <c r="A4" t="s">
        <v>11</v>
      </c>
      <c r="B4" t="s">
        <v>12</v>
      </c>
      <c r="J4" s="3"/>
      <c r="K4" s="3"/>
      <c r="L4" s="3"/>
      <c r="M4" s="3"/>
      <c r="N4" s="3"/>
      <c r="O4" s="3"/>
      <c r="P4" s="3"/>
      <c r="Q4" s="3"/>
      <c r="R4" s="3"/>
      <c r="T4" s="3"/>
    </row>
    <row r="5" spans="1:33">
      <c r="A5" s="12" t="s">
        <v>13</v>
      </c>
      <c r="B5" s="12" t="s">
        <v>14</v>
      </c>
      <c r="C5">
        <v>17</v>
      </c>
      <c r="D5">
        <v>22</v>
      </c>
      <c r="E5">
        <v>26</v>
      </c>
      <c r="F5">
        <v>27</v>
      </c>
      <c r="G5">
        <v>20</v>
      </c>
      <c r="H5">
        <v>18</v>
      </c>
      <c r="J5" s="3">
        <f t="shared" ref="J5:O5" si="0">C5/C$3</f>
        <v>0.56666666666666698</v>
      </c>
      <c r="K5" s="3">
        <f t="shared" si="0"/>
        <v>0.73333333333333295</v>
      </c>
      <c r="L5" s="3">
        <f t="shared" si="0"/>
        <v>0.86666666666666703</v>
      </c>
      <c r="M5" s="3">
        <f t="shared" si="0"/>
        <v>0.9</v>
      </c>
      <c r="N5" s="3">
        <f t="shared" si="0"/>
        <v>0.66666666666666696</v>
      </c>
      <c r="O5" s="3">
        <f t="shared" si="0"/>
        <v>0.6</v>
      </c>
      <c r="P5" s="13">
        <f>AVERAGE(J5:O5)</f>
        <v>0.72222222222222199</v>
      </c>
      <c r="Q5" s="13" t="str">
        <f>IF(P5:P21&lt;=0.7,"Fail","Pass")</f>
        <v>Pass</v>
      </c>
      <c r="R5" s="3"/>
      <c r="T5" s="3"/>
    </row>
    <row r="6" spans="1:33">
      <c r="A6" s="12" t="s">
        <v>15</v>
      </c>
      <c r="B6" s="12" t="s">
        <v>16</v>
      </c>
      <c r="C6">
        <v>30</v>
      </c>
      <c r="D6">
        <v>24</v>
      </c>
      <c r="E6">
        <v>18</v>
      </c>
      <c r="F6">
        <v>24</v>
      </c>
      <c r="G6">
        <v>19</v>
      </c>
      <c r="H6">
        <v>14</v>
      </c>
      <c r="J6" s="3">
        <f t="shared" ref="J6:O6" si="1">C6/C$3</f>
        <v>1</v>
      </c>
      <c r="K6" s="3">
        <f t="shared" si="1"/>
        <v>0.8</v>
      </c>
      <c r="L6" s="3">
        <f t="shared" si="1"/>
        <v>0.6</v>
      </c>
      <c r="M6" s="3">
        <f t="shared" si="1"/>
        <v>0.8</v>
      </c>
      <c r="N6" s="3">
        <f t="shared" si="1"/>
        <v>0.63333333333333297</v>
      </c>
      <c r="O6" s="3">
        <f t="shared" si="1"/>
        <v>0.46666666666666701</v>
      </c>
      <c r="P6" s="13">
        <f t="shared" ref="P6:P21" si="2">AVERAGE(J6:O6)</f>
        <v>0.71666666666666701</v>
      </c>
      <c r="Q6" s="13" t="str">
        <f t="shared" ref="Q6:Q21" si="3">IF(P6:P22&lt;=0.7,"Fail","Pass")</f>
        <v>Pass</v>
      </c>
      <c r="R6" s="3"/>
      <c r="T6" s="3"/>
    </row>
    <row r="7" spans="1:33">
      <c r="A7" s="12" t="s">
        <v>17</v>
      </c>
      <c r="B7" s="12" t="s">
        <v>18</v>
      </c>
      <c r="C7">
        <v>16</v>
      </c>
      <c r="D7">
        <v>22</v>
      </c>
      <c r="E7">
        <v>19</v>
      </c>
      <c r="F7">
        <v>30</v>
      </c>
      <c r="G7">
        <v>21</v>
      </c>
      <c r="H7">
        <v>17</v>
      </c>
      <c r="J7" s="3">
        <f t="shared" ref="J7:O7" si="4">C7/C$3</f>
        <v>0.53333333333333299</v>
      </c>
      <c r="K7" s="3">
        <f t="shared" si="4"/>
        <v>0.73333333333333295</v>
      </c>
      <c r="L7" s="3">
        <f t="shared" si="4"/>
        <v>0.63333333333333297</v>
      </c>
      <c r="M7" s="3">
        <f t="shared" si="4"/>
        <v>1</v>
      </c>
      <c r="N7" s="3">
        <f t="shared" si="4"/>
        <v>0.7</v>
      </c>
      <c r="O7" s="3">
        <f t="shared" si="4"/>
        <v>0.56666666666666698</v>
      </c>
      <c r="P7" s="13">
        <f t="shared" si="2"/>
        <v>0.69444444444444398</v>
      </c>
      <c r="Q7" s="13" t="str">
        <f t="shared" si="3"/>
        <v>Fail</v>
      </c>
      <c r="R7" s="3"/>
      <c r="T7" s="3"/>
    </row>
    <row r="8" spans="1:33">
      <c r="A8" s="12" t="s">
        <v>19</v>
      </c>
      <c r="B8" s="12" t="s">
        <v>20</v>
      </c>
      <c r="C8">
        <v>19</v>
      </c>
      <c r="D8">
        <v>19</v>
      </c>
      <c r="E8">
        <v>23</v>
      </c>
      <c r="F8">
        <v>30</v>
      </c>
      <c r="G8">
        <v>18</v>
      </c>
      <c r="H8">
        <v>22</v>
      </c>
      <c r="J8" s="3">
        <f t="shared" ref="J8:O8" si="5">C8/C$3</f>
        <v>0.63333333333333297</v>
      </c>
      <c r="K8" s="3">
        <f t="shared" si="5"/>
        <v>0.63333333333333297</v>
      </c>
      <c r="L8" s="3">
        <f t="shared" si="5"/>
        <v>0.76666666666666705</v>
      </c>
      <c r="M8" s="3">
        <f t="shared" si="5"/>
        <v>1</v>
      </c>
      <c r="N8" s="3">
        <f t="shared" si="5"/>
        <v>0.6</v>
      </c>
      <c r="O8" s="3">
        <f t="shared" si="5"/>
        <v>0.73333333333333295</v>
      </c>
      <c r="P8" s="13">
        <f t="shared" si="2"/>
        <v>0.72777777777777797</v>
      </c>
      <c r="Q8" s="13" t="str">
        <f t="shared" si="3"/>
        <v>Pass</v>
      </c>
      <c r="R8" s="3"/>
      <c r="T8" s="3"/>
    </row>
    <row r="9" spans="1:33">
      <c r="A9" s="12" t="s">
        <v>21</v>
      </c>
      <c r="B9" s="12" t="s">
        <v>22</v>
      </c>
      <c r="C9">
        <v>17</v>
      </c>
      <c r="D9">
        <v>18</v>
      </c>
      <c r="E9">
        <v>24</v>
      </c>
      <c r="F9">
        <v>23</v>
      </c>
      <c r="G9">
        <v>20</v>
      </c>
      <c r="H9">
        <v>17</v>
      </c>
      <c r="J9" s="3">
        <f t="shared" ref="J9:O9" si="6">C9/C$3</f>
        <v>0.56666666666666698</v>
      </c>
      <c r="K9" s="3">
        <f t="shared" si="6"/>
        <v>0.6</v>
      </c>
      <c r="L9" s="3">
        <f t="shared" si="6"/>
        <v>0.8</v>
      </c>
      <c r="M9" s="3">
        <f t="shared" si="6"/>
        <v>0.76666666666666705</v>
      </c>
      <c r="N9" s="3">
        <f t="shared" si="6"/>
        <v>0.66666666666666696</v>
      </c>
      <c r="O9" s="3">
        <f t="shared" si="6"/>
        <v>0.56666666666666698</v>
      </c>
      <c r="P9" s="13">
        <f t="shared" si="2"/>
        <v>0.66111111111111098</v>
      </c>
      <c r="Q9" s="13" t="str">
        <f t="shared" si="3"/>
        <v>Fail</v>
      </c>
      <c r="R9" s="3"/>
      <c r="T9" s="3"/>
    </row>
    <row r="10" spans="1:33">
      <c r="A10" s="12" t="s">
        <v>23</v>
      </c>
      <c r="B10" s="12" t="s">
        <v>24</v>
      </c>
      <c r="C10">
        <v>15</v>
      </c>
      <c r="D10">
        <v>26</v>
      </c>
      <c r="E10">
        <v>23</v>
      </c>
      <c r="F10">
        <v>18</v>
      </c>
      <c r="G10">
        <v>22</v>
      </c>
      <c r="H10">
        <v>19</v>
      </c>
      <c r="J10" s="3">
        <f t="shared" ref="J10:O10" si="7">C10/C$3</f>
        <v>0.5</v>
      </c>
      <c r="K10" s="3">
        <f t="shared" si="7"/>
        <v>0.86666666666666703</v>
      </c>
      <c r="L10" s="3">
        <f t="shared" si="7"/>
        <v>0.76666666666666705</v>
      </c>
      <c r="M10" s="3">
        <f t="shared" si="7"/>
        <v>0.6</v>
      </c>
      <c r="N10" s="3">
        <f t="shared" si="7"/>
        <v>0.73333333333333295</v>
      </c>
      <c r="O10" s="3">
        <f t="shared" si="7"/>
        <v>0.63333333333333297</v>
      </c>
      <c r="P10" s="13">
        <f t="shared" si="2"/>
        <v>0.68333333333333302</v>
      </c>
      <c r="Q10" s="13" t="str">
        <f t="shared" si="3"/>
        <v>Fail</v>
      </c>
      <c r="R10" s="3"/>
      <c r="T10" s="3"/>
    </row>
    <row r="11" spans="1:33">
      <c r="A11" s="12" t="s">
        <v>25</v>
      </c>
      <c r="B11" s="12" t="s">
        <v>26</v>
      </c>
      <c r="C11">
        <v>25</v>
      </c>
      <c r="D11">
        <v>21</v>
      </c>
      <c r="E11">
        <v>22</v>
      </c>
      <c r="F11">
        <v>25</v>
      </c>
      <c r="G11">
        <v>21</v>
      </c>
      <c r="H11">
        <v>23</v>
      </c>
      <c r="J11" s="3">
        <f t="shared" ref="J11:O11" si="8">C11/C$3</f>
        <v>0.83333333333333304</v>
      </c>
      <c r="K11" s="3">
        <f t="shared" si="8"/>
        <v>0.7</v>
      </c>
      <c r="L11" s="3">
        <f t="shared" si="8"/>
        <v>0.73333333333333295</v>
      </c>
      <c r="M11" s="3">
        <f t="shared" si="8"/>
        <v>0.83333333333333304</v>
      </c>
      <c r="N11" s="3">
        <f t="shared" si="8"/>
        <v>0.7</v>
      </c>
      <c r="O11" s="3">
        <f t="shared" si="8"/>
        <v>0.76666666666666705</v>
      </c>
      <c r="P11" s="13">
        <f t="shared" si="2"/>
        <v>0.76111111111111096</v>
      </c>
      <c r="Q11" s="13" t="str">
        <f t="shared" si="3"/>
        <v>Pass</v>
      </c>
      <c r="R11" s="3"/>
      <c r="T11" s="3"/>
    </row>
    <row r="12" spans="1:33">
      <c r="A12" s="12" t="s">
        <v>27</v>
      </c>
      <c r="B12" s="12" t="s">
        <v>28</v>
      </c>
      <c r="C12">
        <v>28</v>
      </c>
      <c r="D12">
        <v>20</v>
      </c>
      <c r="E12">
        <v>21</v>
      </c>
      <c r="F12">
        <v>23</v>
      </c>
      <c r="G12">
        <v>23</v>
      </c>
      <c r="H12">
        <v>20</v>
      </c>
      <c r="J12" s="3">
        <f t="shared" ref="J12:O12" si="9">C12/C$3</f>
        <v>0.93333333333333302</v>
      </c>
      <c r="K12" s="3">
        <f t="shared" si="9"/>
        <v>0.66666666666666696</v>
      </c>
      <c r="L12" s="3">
        <f t="shared" si="9"/>
        <v>0.7</v>
      </c>
      <c r="M12" s="3">
        <f t="shared" si="9"/>
        <v>0.76666666666666705</v>
      </c>
      <c r="N12" s="3">
        <f t="shared" si="9"/>
        <v>0.76666666666666705</v>
      </c>
      <c r="O12" s="3">
        <f t="shared" si="9"/>
        <v>0.66666666666666696</v>
      </c>
      <c r="P12" s="13">
        <f t="shared" si="2"/>
        <v>0.75</v>
      </c>
      <c r="Q12" s="13" t="str">
        <f t="shared" si="3"/>
        <v>Pass</v>
      </c>
      <c r="R12" s="3"/>
      <c r="T12" s="3"/>
    </row>
    <row r="13" spans="1:33">
      <c r="A13" s="12" t="s">
        <v>29</v>
      </c>
      <c r="B13" s="12" t="s">
        <v>30</v>
      </c>
      <c r="C13">
        <v>30</v>
      </c>
      <c r="D13">
        <v>30</v>
      </c>
      <c r="E13">
        <v>26</v>
      </c>
      <c r="F13">
        <v>30</v>
      </c>
      <c r="G13">
        <v>25</v>
      </c>
      <c r="H13">
        <v>27</v>
      </c>
      <c r="J13" s="3">
        <f t="shared" ref="J13:O13" si="10">C13/C$3</f>
        <v>1</v>
      </c>
      <c r="K13" s="3">
        <f t="shared" si="10"/>
        <v>1</v>
      </c>
      <c r="L13" s="3">
        <f t="shared" si="10"/>
        <v>0.86666666666666703</v>
      </c>
      <c r="M13" s="3">
        <f t="shared" si="10"/>
        <v>1</v>
      </c>
      <c r="N13" s="3">
        <f t="shared" si="10"/>
        <v>0.83333333333333304</v>
      </c>
      <c r="O13" s="3">
        <f t="shared" si="10"/>
        <v>0.9</v>
      </c>
      <c r="P13" s="13">
        <f t="shared" si="2"/>
        <v>0.93333333333333302</v>
      </c>
      <c r="Q13" s="13" t="str">
        <f t="shared" si="3"/>
        <v>Pass</v>
      </c>
      <c r="R13" s="3"/>
      <c r="T13" s="3"/>
    </row>
    <row r="14" spans="1:33">
      <c r="A14" s="12" t="s">
        <v>31</v>
      </c>
      <c r="B14" s="12" t="s">
        <v>32</v>
      </c>
      <c r="C14">
        <v>25</v>
      </c>
      <c r="D14">
        <v>30</v>
      </c>
      <c r="E14">
        <v>23</v>
      </c>
      <c r="F14">
        <v>29</v>
      </c>
      <c r="G14">
        <v>20</v>
      </c>
      <c r="H14">
        <v>19</v>
      </c>
      <c r="J14" s="3">
        <f t="shared" ref="J14:O14" si="11">C14/C$3</f>
        <v>0.83333333333333304</v>
      </c>
      <c r="K14" s="3">
        <f t="shared" si="11"/>
        <v>1</v>
      </c>
      <c r="L14" s="3">
        <f t="shared" si="11"/>
        <v>0.76666666666666705</v>
      </c>
      <c r="M14" s="3">
        <f t="shared" si="11"/>
        <v>0.96666666666666701</v>
      </c>
      <c r="N14" s="3">
        <f t="shared" si="11"/>
        <v>0.66666666666666696</v>
      </c>
      <c r="O14" s="3">
        <f t="shared" si="11"/>
        <v>0.63333333333333297</v>
      </c>
      <c r="P14" s="13">
        <f t="shared" si="2"/>
        <v>0.81111111111111101</v>
      </c>
      <c r="Q14" s="13" t="str">
        <f t="shared" si="3"/>
        <v>Pass</v>
      </c>
      <c r="R14" s="3"/>
      <c r="T14" s="3"/>
    </row>
    <row r="15" spans="1:33">
      <c r="A15" s="12" t="s">
        <v>33</v>
      </c>
      <c r="B15" s="12" t="s">
        <v>34</v>
      </c>
      <c r="C15">
        <v>12</v>
      </c>
      <c r="D15">
        <v>25</v>
      </c>
      <c r="E15">
        <v>30</v>
      </c>
      <c r="F15">
        <v>19</v>
      </c>
      <c r="G15">
        <v>26</v>
      </c>
      <c r="H15">
        <v>16</v>
      </c>
      <c r="J15" s="3">
        <f t="shared" ref="J15:O15" si="12">C15/C$3</f>
        <v>0.4</v>
      </c>
      <c r="K15" s="3">
        <f t="shared" si="12"/>
        <v>0.83333333333333304</v>
      </c>
      <c r="L15" s="3">
        <f t="shared" si="12"/>
        <v>1</v>
      </c>
      <c r="M15" s="3">
        <f t="shared" si="12"/>
        <v>0.63333333333333297</v>
      </c>
      <c r="N15" s="3">
        <f t="shared" si="12"/>
        <v>0.86666666666666703</v>
      </c>
      <c r="O15" s="3">
        <f t="shared" si="12"/>
        <v>0.53333333333333299</v>
      </c>
      <c r="P15" s="13">
        <f t="shared" si="2"/>
        <v>0.71111111111111103</v>
      </c>
      <c r="Q15" s="13" t="str">
        <f t="shared" si="3"/>
        <v>Pass</v>
      </c>
      <c r="R15" s="3"/>
      <c r="T15" s="3"/>
    </row>
    <row r="16" spans="1:33">
      <c r="A16" s="12" t="s">
        <v>35</v>
      </c>
      <c r="B16" s="12" t="s">
        <v>36</v>
      </c>
      <c r="C16">
        <v>22</v>
      </c>
      <c r="D16">
        <v>18</v>
      </c>
      <c r="E16">
        <v>17</v>
      </c>
      <c r="F16">
        <v>20</v>
      </c>
      <c r="G16">
        <v>23</v>
      </c>
      <c r="H16">
        <v>19</v>
      </c>
      <c r="J16" s="3">
        <f t="shared" ref="J16:O16" si="13">C16/C$3</f>
        <v>0.73333333333333295</v>
      </c>
      <c r="K16" s="3">
        <f t="shared" si="13"/>
        <v>0.6</v>
      </c>
      <c r="L16" s="3">
        <f t="shared" si="13"/>
        <v>0.56666666666666698</v>
      </c>
      <c r="M16" s="3">
        <f t="shared" si="13"/>
        <v>0.66666666666666696</v>
      </c>
      <c r="N16" s="3">
        <f t="shared" si="13"/>
        <v>0.76666666666666705</v>
      </c>
      <c r="O16" s="3">
        <f t="shared" si="13"/>
        <v>0.63333333333333297</v>
      </c>
      <c r="P16" s="13">
        <f t="shared" si="2"/>
        <v>0.66111111111111098</v>
      </c>
      <c r="Q16" s="13" t="str">
        <f t="shared" si="3"/>
        <v>Fail</v>
      </c>
      <c r="R16" s="3"/>
      <c r="T16" s="3"/>
    </row>
    <row r="17" spans="1:20">
      <c r="A17" s="12" t="s">
        <v>37</v>
      </c>
      <c r="B17" s="12" t="s">
        <v>14</v>
      </c>
      <c r="C17">
        <v>11</v>
      </c>
      <c r="D17">
        <v>17</v>
      </c>
      <c r="E17">
        <v>29</v>
      </c>
      <c r="F17">
        <v>22</v>
      </c>
      <c r="G17">
        <v>18</v>
      </c>
      <c r="H17">
        <v>24</v>
      </c>
      <c r="J17" s="3">
        <f t="shared" ref="J17:O17" si="14">C17/C$3</f>
        <v>0.36666666666666697</v>
      </c>
      <c r="K17" s="3">
        <f t="shared" si="14"/>
        <v>0.56666666666666698</v>
      </c>
      <c r="L17" s="3">
        <f t="shared" si="14"/>
        <v>0.96666666666666701</v>
      </c>
      <c r="M17" s="3">
        <f t="shared" si="14"/>
        <v>0.73333333333333295</v>
      </c>
      <c r="N17" s="3">
        <f t="shared" si="14"/>
        <v>0.6</v>
      </c>
      <c r="O17" s="3">
        <f t="shared" si="14"/>
        <v>0.8</v>
      </c>
      <c r="P17" s="13">
        <f t="shared" si="2"/>
        <v>0.67222222222222205</v>
      </c>
      <c r="Q17" s="13" t="str">
        <f t="shared" si="3"/>
        <v>Fail</v>
      </c>
      <c r="R17" s="3"/>
      <c r="T17" s="3"/>
    </row>
    <row r="18" spans="1:20">
      <c r="A18" s="12" t="s">
        <v>38</v>
      </c>
      <c r="B18" s="12" t="s">
        <v>39</v>
      </c>
      <c r="C18">
        <v>30</v>
      </c>
      <c r="D18">
        <v>20</v>
      </c>
      <c r="E18">
        <v>30</v>
      </c>
      <c r="F18">
        <v>24</v>
      </c>
      <c r="G18">
        <v>22</v>
      </c>
      <c r="H18">
        <v>26</v>
      </c>
      <c r="J18" s="3">
        <f t="shared" ref="J18:O18" si="15">C18/C$3</f>
        <v>1</v>
      </c>
      <c r="K18" s="3">
        <f t="shared" si="15"/>
        <v>0.66666666666666696</v>
      </c>
      <c r="L18" s="3">
        <f t="shared" si="15"/>
        <v>1</v>
      </c>
      <c r="M18" s="3">
        <f t="shared" si="15"/>
        <v>0.8</v>
      </c>
      <c r="N18" s="3">
        <f t="shared" si="15"/>
        <v>0.73333333333333295</v>
      </c>
      <c r="O18" s="3">
        <f t="shared" si="15"/>
        <v>0.86666666666666703</v>
      </c>
      <c r="P18" s="13">
        <f t="shared" si="2"/>
        <v>0.844444444444444</v>
      </c>
      <c r="Q18" s="13" t="str">
        <f t="shared" si="3"/>
        <v>Pass</v>
      </c>
      <c r="R18" s="3"/>
      <c r="T18" s="3"/>
    </row>
    <row r="19" spans="1:20">
      <c r="A19" s="12" t="s">
        <v>40</v>
      </c>
      <c r="B19" s="12" t="s">
        <v>41</v>
      </c>
      <c r="C19">
        <v>29</v>
      </c>
      <c r="D19">
        <v>30</v>
      </c>
      <c r="E19">
        <v>22</v>
      </c>
      <c r="F19">
        <v>17</v>
      </c>
      <c r="G19">
        <v>18</v>
      </c>
      <c r="H19">
        <v>18</v>
      </c>
      <c r="J19" s="3">
        <f t="shared" ref="J19:O19" si="16">C19/C$3</f>
        <v>0.96666666666666701</v>
      </c>
      <c r="K19" s="3">
        <f t="shared" si="16"/>
        <v>1</v>
      </c>
      <c r="L19" s="3">
        <f t="shared" si="16"/>
        <v>0.73333333333333295</v>
      </c>
      <c r="M19" s="3">
        <f t="shared" si="16"/>
        <v>0.56666666666666698</v>
      </c>
      <c r="N19" s="3">
        <f t="shared" si="16"/>
        <v>0.6</v>
      </c>
      <c r="O19" s="3">
        <f t="shared" si="16"/>
        <v>0.6</v>
      </c>
      <c r="P19" s="13">
        <f t="shared" si="2"/>
        <v>0.74444444444444402</v>
      </c>
      <c r="Q19" s="13" t="str">
        <f t="shared" si="3"/>
        <v>Pass</v>
      </c>
      <c r="R19" s="3"/>
      <c r="T19" s="3"/>
    </row>
    <row r="20" spans="1:20">
      <c r="A20" s="12" t="s">
        <v>42</v>
      </c>
      <c r="B20" s="12" t="s">
        <v>43</v>
      </c>
      <c r="C20">
        <v>21</v>
      </c>
      <c r="D20">
        <v>19</v>
      </c>
      <c r="E20">
        <v>30</v>
      </c>
      <c r="F20">
        <v>22</v>
      </c>
      <c r="G20">
        <v>17</v>
      </c>
      <c r="H20">
        <v>22</v>
      </c>
      <c r="J20" s="3">
        <f t="shared" ref="J20:O20" si="17">C20/C$3</f>
        <v>0.7</v>
      </c>
      <c r="K20" s="3">
        <f t="shared" si="17"/>
        <v>0.63333333333333297</v>
      </c>
      <c r="L20" s="3">
        <f t="shared" si="17"/>
        <v>1</v>
      </c>
      <c r="M20" s="3">
        <f t="shared" si="17"/>
        <v>0.73333333333333295</v>
      </c>
      <c r="N20" s="3">
        <f t="shared" si="17"/>
        <v>0.56666666666666698</v>
      </c>
      <c r="O20" s="3">
        <f t="shared" si="17"/>
        <v>0.73333333333333295</v>
      </c>
      <c r="P20" s="13">
        <f t="shared" si="2"/>
        <v>0.72777777777777797</v>
      </c>
      <c r="Q20" s="13" t="str">
        <f t="shared" si="3"/>
        <v>Pass</v>
      </c>
      <c r="R20" s="3"/>
      <c r="T20" s="3"/>
    </row>
    <row r="21" spans="1:20">
      <c r="A21" s="12" t="s">
        <v>44</v>
      </c>
      <c r="B21" s="12" t="s">
        <v>45</v>
      </c>
      <c r="C21">
        <v>30</v>
      </c>
      <c r="D21">
        <v>21</v>
      </c>
      <c r="E21">
        <v>16</v>
      </c>
      <c r="F21">
        <v>19</v>
      </c>
      <c r="G21">
        <v>27</v>
      </c>
      <c r="H21">
        <v>17</v>
      </c>
      <c r="J21" s="3">
        <f t="shared" ref="J21:O21" si="18">C21/C$3</f>
        <v>1</v>
      </c>
      <c r="K21" s="3">
        <f t="shared" si="18"/>
        <v>0.7</v>
      </c>
      <c r="L21" s="3">
        <f t="shared" si="18"/>
        <v>0.53333333333333299</v>
      </c>
      <c r="M21" s="3">
        <f t="shared" si="18"/>
        <v>0.63333333333333297</v>
      </c>
      <c r="N21" s="3">
        <f t="shared" si="18"/>
        <v>0.9</v>
      </c>
      <c r="O21" s="3">
        <f t="shared" si="18"/>
        <v>0.56666666666666698</v>
      </c>
      <c r="P21" s="13">
        <f t="shared" si="2"/>
        <v>0.72222222222222199</v>
      </c>
      <c r="Q21" s="13" t="str">
        <f t="shared" si="3"/>
        <v>Pass</v>
      </c>
      <c r="R21" s="3"/>
      <c r="T21" s="3"/>
    </row>
    <row r="24" spans="1:20">
      <c r="A24" s="12" t="s">
        <v>46</v>
      </c>
      <c r="C24">
        <f t="shared" ref="C24:H24" si="19">MAX(C5:C21)</f>
        <v>30</v>
      </c>
      <c r="D24">
        <f t="shared" si="19"/>
        <v>30</v>
      </c>
      <c r="E24">
        <f t="shared" si="19"/>
        <v>30</v>
      </c>
      <c r="F24">
        <f t="shared" si="19"/>
        <v>30</v>
      </c>
      <c r="G24">
        <f t="shared" si="19"/>
        <v>27</v>
      </c>
      <c r="H24">
        <f t="shared" si="19"/>
        <v>27</v>
      </c>
      <c r="J24" s="13">
        <f>MAX(J5:J21)</f>
        <v>1</v>
      </c>
      <c r="K24" s="13">
        <f>MAX(K5:K21)</f>
        <v>1</v>
      </c>
      <c r="L24" s="13">
        <f>MAX(L5:L21)</f>
        <v>1</v>
      </c>
      <c r="M24" s="13">
        <f>MAX(M5:M21)</f>
        <v>1</v>
      </c>
      <c r="N24" s="13">
        <f>MAX(N5:N21)</f>
        <v>0.9</v>
      </c>
      <c r="O24" s="13">
        <f t="shared" ref="O24:P24" si="20">MAX(O5:O21)</f>
        <v>0.9</v>
      </c>
      <c r="P24" s="13">
        <f t="shared" si="20"/>
        <v>0.93333333333333302</v>
      </c>
      <c r="Q24" s="13"/>
      <c r="S24" s="13"/>
    </row>
    <row r="25" spans="1:20">
      <c r="A25" t="s">
        <v>47</v>
      </c>
      <c r="C25">
        <f t="shared" ref="C25:H25" si="21">MIN(C5:C21)</f>
        <v>11</v>
      </c>
      <c r="D25">
        <f t="shared" si="21"/>
        <v>17</v>
      </c>
      <c r="E25">
        <f t="shared" si="21"/>
        <v>16</v>
      </c>
      <c r="F25">
        <f t="shared" si="21"/>
        <v>17</v>
      </c>
      <c r="G25">
        <f t="shared" si="21"/>
        <v>17</v>
      </c>
      <c r="H25">
        <f t="shared" si="21"/>
        <v>14</v>
      </c>
      <c r="J25" s="13">
        <f>MIN(J5:J21)</f>
        <v>0.36666666666666697</v>
      </c>
      <c r="K25" s="13">
        <f>MIN(K5:K21)</f>
        <v>0.56666666666666698</v>
      </c>
      <c r="L25" s="13">
        <f>MIN(L5:L21)</f>
        <v>0.53333333333333299</v>
      </c>
      <c r="M25" s="13">
        <f>MIN(M5:M21)</f>
        <v>0.56666666666666698</v>
      </c>
      <c r="N25" s="13">
        <f>MIN(N5:N21)</f>
        <v>0.56666666666666698</v>
      </c>
      <c r="O25" s="13">
        <f t="shared" ref="O25:P25" si="22">MIN(O5:O21)</f>
        <v>0.46666666666666701</v>
      </c>
      <c r="P25" s="13">
        <f t="shared" si="22"/>
        <v>0.66111111111111098</v>
      </c>
      <c r="Q25" s="13"/>
    </row>
    <row r="26" spans="1:20">
      <c r="A26" t="s">
        <v>48</v>
      </c>
      <c r="C26">
        <f t="shared" ref="C26:H26" si="23">AVERAGE(C5:C21)</f>
        <v>22.176470588235301</v>
      </c>
      <c r="D26">
        <f t="shared" si="23"/>
        <v>22.470588235294102</v>
      </c>
      <c r="E26">
        <f t="shared" si="23"/>
        <v>23.470588235294102</v>
      </c>
      <c r="F26">
        <f t="shared" si="23"/>
        <v>23.647058823529399</v>
      </c>
      <c r="G26">
        <f t="shared" si="23"/>
        <v>21.176470588235301</v>
      </c>
      <c r="H26">
        <f t="shared" si="23"/>
        <v>19.882352941176499</v>
      </c>
      <c r="J26" s="13">
        <f>AVERAGE(J5:J21)</f>
        <v>0.73921568627450995</v>
      </c>
      <c r="K26" s="13">
        <f>AVERAGE(K5:K21)</f>
        <v>0.74901960784313704</v>
      </c>
      <c r="L26" s="13">
        <f>AVERAGE(L5:L21)</f>
        <v>0.78235294117647003</v>
      </c>
      <c r="M26" s="13">
        <f>AVERAGE(M5:M21)</f>
        <v>0.78823529411764703</v>
      </c>
      <c r="N26" s="13">
        <f>AVERAGE(N5:N21)</f>
        <v>0.70588235294117596</v>
      </c>
      <c r="O26" s="13">
        <f t="shared" ref="O26:P26" si="24">AVERAGE(O5:O21)</f>
        <v>0.662745098039216</v>
      </c>
      <c r="P26" s="13">
        <f t="shared" si="24"/>
        <v>0.73790849673202596</v>
      </c>
      <c r="Q26" s="13"/>
    </row>
  </sheetData>
  <mergeCells count="1">
    <mergeCell ref="A1:Q1"/>
  </mergeCells>
  <conditionalFormatting sqref="J5:O21">
    <cfRule type="cellIs" dxfId="6" priority="17" operator="greaterThan">
      <formula>0.69</formula>
    </cfRule>
    <cfRule type="cellIs" dxfId="5" priority="18" operator="lessThan">
      <formula>0.5</formula>
    </cfRule>
  </conditionalFormatting>
  <conditionalFormatting sqref="P5:P21">
    <cfRule type="cellIs" dxfId="4" priority="1" operator="greaterThan">
      <formula>0.7</formula>
    </cfRule>
  </conditionalFormatting>
  <conditionalFormatting sqref="Q5:Q21">
    <cfRule type="containsText" dxfId="3" priority="5" operator="containsText" text="Pass">
      <formula>NOT(ISERROR(SEARCH("Pass",Q5)))</formula>
    </cfRule>
    <cfRule type="containsText" dxfId="2" priority="6" operator="containsText" text="Fail">
      <formula>NOT(ISERROR(SEARCH("Fail",Q5)))</formula>
    </cfRule>
  </conditionalFormatting>
  <conditionalFormatting sqref="T4:T21">
    <cfRule type="cellIs" dxfId="1" priority="9" operator="equal">
      <formula>"Pass"</formula>
    </cfRule>
    <cfRule type="cellIs" dxfId="0" priority="10" operator="equal">
      <formula>"Fail"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3"/>
  <sheetViews>
    <sheetView showGridLines="0" showRowColHeaders="0" tabSelected="1" topLeftCell="A12" zoomScale="67" zoomScaleNormal="67" workbookViewId="0">
      <selection activeCell="X65" sqref="X65"/>
    </sheetView>
  </sheetViews>
  <sheetFormatPr defaultColWidth="9" defaultRowHeight="14.5"/>
  <cols>
    <col min="14" max="14" width="31.81640625" customWidth="1"/>
    <col min="15" max="15" width="13.08984375" customWidth="1"/>
    <col min="18" max="18" width="5.90625" customWidth="1"/>
    <col min="19" max="19" width="8.08984375" customWidth="1"/>
  </cols>
  <sheetData>
    <row r="1" spans="1:21" ht="23.5">
      <c r="B1" s="14" t="s">
        <v>49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3" spans="1:21" ht="18.5">
      <c r="B3" s="15" t="s">
        <v>50</v>
      </c>
      <c r="C3" s="15"/>
      <c r="D3" s="15"/>
      <c r="E3" s="15"/>
      <c r="F3" s="15"/>
      <c r="G3" s="15"/>
      <c r="H3" s="15"/>
      <c r="I3" s="15"/>
      <c r="J3" s="15"/>
      <c r="K3" s="15"/>
      <c r="L3" s="15"/>
      <c r="N3" s="15" t="s">
        <v>51</v>
      </c>
      <c r="O3" s="15"/>
    </row>
    <row r="4" spans="1:21" ht="15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 t="s">
        <v>52</v>
      </c>
      <c r="O4" s="2">
        <v>0.74</v>
      </c>
      <c r="P4" s="1"/>
      <c r="U4" s="3"/>
    </row>
    <row r="5" spans="1:21" ht="15.5">
      <c r="A5" s="1"/>
      <c r="B5" s="16" t="s">
        <v>53</v>
      </c>
      <c r="C5" s="17"/>
      <c r="D5" s="17"/>
      <c r="E5" s="1"/>
      <c r="F5" s="18" t="s">
        <v>54</v>
      </c>
      <c r="G5" s="19"/>
      <c r="H5" s="19"/>
      <c r="I5" s="1"/>
      <c r="J5" s="20" t="s">
        <v>55</v>
      </c>
      <c r="K5" s="21"/>
      <c r="L5" s="21"/>
      <c r="M5" s="1"/>
      <c r="N5" s="1" t="s">
        <v>3</v>
      </c>
      <c r="O5" s="2">
        <v>0.75</v>
      </c>
      <c r="P5" s="1"/>
    </row>
    <row r="6" spans="1:21" ht="15.5">
      <c r="A6" s="1"/>
      <c r="B6" s="17"/>
      <c r="C6" s="17"/>
      <c r="D6" s="17"/>
      <c r="E6" s="1"/>
      <c r="F6" s="19"/>
      <c r="G6" s="19"/>
      <c r="H6" s="19"/>
      <c r="I6" s="1"/>
      <c r="J6" s="21"/>
      <c r="K6" s="21"/>
      <c r="L6" s="21"/>
      <c r="M6" s="1"/>
      <c r="N6" s="1" t="s">
        <v>4</v>
      </c>
      <c r="O6" s="2">
        <v>0.78</v>
      </c>
      <c r="P6" s="1"/>
    </row>
    <row r="7" spans="1:21" ht="15.5">
      <c r="A7" s="1"/>
      <c r="B7" s="17"/>
      <c r="C7" s="17"/>
      <c r="D7" s="17"/>
      <c r="E7" s="1"/>
      <c r="F7" s="19"/>
      <c r="G7" s="19"/>
      <c r="H7" s="19"/>
      <c r="I7" s="1"/>
      <c r="J7" s="21"/>
      <c r="K7" s="21"/>
      <c r="L7" s="21"/>
      <c r="M7" s="1"/>
      <c r="N7" s="1" t="s">
        <v>5</v>
      </c>
      <c r="O7" s="2">
        <v>0.79</v>
      </c>
      <c r="P7" s="1"/>
    </row>
    <row r="8" spans="1:21" ht="15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 t="s">
        <v>6</v>
      </c>
      <c r="O8" s="2">
        <v>0.71</v>
      </c>
      <c r="P8" s="1"/>
    </row>
    <row r="9" spans="1:21" ht="15.5">
      <c r="A9" s="1"/>
      <c r="B9" s="22" t="s">
        <v>56</v>
      </c>
      <c r="C9" s="23"/>
      <c r="D9" s="23"/>
      <c r="E9" s="1"/>
      <c r="F9" s="24" t="s">
        <v>57</v>
      </c>
      <c r="G9" s="25"/>
      <c r="H9" s="25"/>
      <c r="I9" s="1"/>
      <c r="J9" s="26" t="s">
        <v>58</v>
      </c>
      <c r="K9" s="27"/>
      <c r="L9" s="27"/>
      <c r="M9" s="1"/>
      <c r="N9" s="1" t="s">
        <v>7</v>
      </c>
      <c r="O9" s="2">
        <v>0.66</v>
      </c>
      <c r="P9" s="1"/>
    </row>
    <row r="10" spans="1:21" ht="15.5">
      <c r="A10" s="1"/>
      <c r="B10" s="23"/>
      <c r="C10" s="23"/>
      <c r="D10" s="23"/>
      <c r="E10" s="1"/>
      <c r="F10" s="25"/>
      <c r="G10" s="25"/>
      <c r="H10" s="25"/>
      <c r="I10" s="1"/>
      <c r="J10" s="27"/>
      <c r="K10" s="27"/>
      <c r="L10" s="27"/>
      <c r="M10" s="1"/>
      <c r="P10" s="1"/>
    </row>
    <row r="11" spans="1:21" ht="15.5">
      <c r="A11" s="1"/>
      <c r="B11" s="23"/>
      <c r="C11" s="23"/>
      <c r="D11" s="23"/>
      <c r="E11" s="1"/>
      <c r="F11" s="25"/>
      <c r="G11" s="25"/>
      <c r="H11" s="25"/>
      <c r="I11" s="1"/>
      <c r="J11" s="27"/>
      <c r="K11" s="27"/>
      <c r="L11" s="27"/>
      <c r="M11" s="1"/>
      <c r="P11" s="1"/>
    </row>
    <row r="12" spans="1:21" ht="15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21" ht="18.5">
      <c r="A13" s="1"/>
      <c r="B13" s="1"/>
      <c r="C13" s="1"/>
      <c r="D13" s="1"/>
      <c r="E13" s="4"/>
      <c r="F13" s="1"/>
      <c r="G13" s="1"/>
      <c r="H13" s="1"/>
      <c r="I13" s="1"/>
      <c r="J13" s="1"/>
      <c r="K13" s="1"/>
      <c r="L13" s="1"/>
      <c r="M13" s="4"/>
      <c r="N13" s="15" t="s">
        <v>59</v>
      </c>
      <c r="O13" s="15"/>
      <c r="P13" s="4"/>
    </row>
    <row r="14" spans="1:21" ht="18.5">
      <c r="A14" s="1"/>
      <c r="B14" s="15" t="s">
        <v>60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"/>
      <c r="N14" s="5" t="s">
        <v>61</v>
      </c>
      <c r="O14" s="6" t="s">
        <v>8</v>
      </c>
      <c r="P14" s="1"/>
    </row>
    <row r="15" spans="1:21" ht="15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7" t="s">
        <v>29</v>
      </c>
      <c r="O15" s="2">
        <f>AVERAGE('Performance Record Sheet'!J13:O13)</f>
        <v>0.93333333333333302</v>
      </c>
      <c r="P15" s="1"/>
    </row>
    <row r="16" spans="1:21" ht="15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7" t="s">
        <v>38</v>
      </c>
      <c r="O16" s="2">
        <f>AVERAGE('Performance Record Sheet'!J18:O18)</f>
        <v>0.844444444444444</v>
      </c>
      <c r="P16" s="1"/>
    </row>
    <row r="17" spans="1:16" ht="15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7" t="s">
        <v>31</v>
      </c>
      <c r="O17" s="2">
        <f>AVERAGE('Performance Record Sheet'!J14:O14)</f>
        <v>0.81111111111111101</v>
      </c>
      <c r="P17" s="1"/>
    </row>
    <row r="18" spans="1:16" ht="15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7" t="s">
        <v>25</v>
      </c>
      <c r="O18" s="2">
        <f>AVERAGE('Performance Record Sheet'!J11:O11)</f>
        <v>0.76111111111111096</v>
      </c>
      <c r="P18" s="1"/>
    </row>
    <row r="19" spans="1:16" ht="15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7" t="s">
        <v>27</v>
      </c>
      <c r="O19" s="2">
        <f>AVERAGE('Performance Record Sheet'!J12:O12)</f>
        <v>0.75</v>
      </c>
      <c r="P19" s="1"/>
    </row>
    <row r="20" spans="1:16" ht="15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7" t="s">
        <v>40</v>
      </c>
      <c r="O20" s="2">
        <f>AVERAGE('Performance Record Sheet'!J19:O19)</f>
        <v>0.74444444444444402</v>
      </c>
      <c r="P20" s="1"/>
    </row>
    <row r="21" spans="1:16" ht="15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7" t="s">
        <v>19</v>
      </c>
      <c r="O21" s="2">
        <f>AVERAGE('Performance Record Sheet'!J8:O8)</f>
        <v>0.72777777777777797</v>
      </c>
      <c r="P21" s="1"/>
    </row>
    <row r="22" spans="1:16" ht="15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7" t="s">
        <v>42</v>
      </c>
      <c r="O22" s="2">
        <f>AVERAGE('Performance Record Sheet'!J20:O20)</f>
        <v>0.72777777777777797</v>
      </c>
      <c r="P22" s="1"/>
    </row>
    <row r="23" spans="1:16" ht="15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7" t="s">
        <v>13</v>
      </c>
      <c r="O23" s="2">
        <f>AVERAGE('Performance Record Sheet'!J5:O5)</f>
        <v>0.72222222222222199</v>
      </c>
      <c r="P23" s="1"/>
    </row>
    <row r="24" spans="1:16" ht="15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7" t="s">
        <v>44</v>
      </c>
      <c r="O24" s="2">
        <f>AVERAGE('Performance Record Sheet'!J21:O21)</f>
        <v>0.72222222222222199</v>
      </c>
      <c r="P24" s="1"/>
    </row>
    <row r="25" spans="1:16" ht="15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7" t="s">
        <v>15</v>
      </c>
      <c r="O25" s="2">
        <f>AVERAGE('Performance Record Sheet'!J6:O6)</f>
        <v>0.71666666666666701</v>
      </c>
      <c r="P25" s="1"/>
    </row>
    <row r="26" spans="1:16" ht="15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7" t="s">
        <v>33</v>
      </c>
      <c r="O26" s="2">
        <f>AVERAGE('Performance Record Sheet'!J15:O15)</f>
        <v>0.71111111111111103</v>
      </c>
      <c r="P26" s="1"/>
    </row>
    <row r="27" spans="1:16" ht="15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7" t="s">
        <v>17</v>
      </c>
      <c r="O27" s="2">
        <f>AVERAGE('Performance Record Sheet'!J7:O7)</f>
        <v>0.69444444444444398</v>
      </c>
      <c r="P27" s="1"/>
    </row>
    <row r="28" spans="1:16" ht="15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7" t="s">
        <v>23</v>
      </c>
      <c r="O28" s="2">
        <f>AVERAGE('Performance Record Sheet'!J10:O10)</f>
        <v>0.68333333333333302</v>
      </c>
      <c r="P28" s="1"/>
    </row>
    <row r="29" spans="1:16" ht="15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7" t="s">
        <v>37</v>
      </c>
      <c r="O29" s="2">
        <f>AVERAGE('Performance Record Sheet'!J17:O17)</f>
        <v>0.67222222222222205</v>
      </c>
      <c r="P29" s="1"/>
    </row>
    <row r="30" spans="1:16" ht="15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7" t="s">
        <v>21</v>
      </c>
      <c r="O30" s="2">
        <f>AVERAGE('Performance Record Sheet'!J9:O9)</f>
        <v>0.66111111111111098</v>
      </c>
      <c r="P30" s="1"/>
    </row>
    <row r="31" spans="1:16" ht="15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7" t="s">
        <v>35</v>
      </c>
      <c r="O31" s="2">
        <f>AVERAGE('Performance Record Sheet'!J16:O16)</f>
        <v>0.66111111111111098</v>
      </c>
      <c r="P31" s="1"/>
    </row>
    <row r="32" spans="1:16" ht="15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"/>
    </row>
    <row r="33" spans="1:16" ht="15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1"/>
    </row>
    <row r="34" spans="1:16" ht="18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8" t="s">
        <v>62</v>
      </c>
      <c r="O34" s="9" t="s">
        <v>63</v>
      </c>
      <c r="P34" s="1"/>
    </row>
    <row r="35" spans="1:16" ht="15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 t="s">
        <v>64</v>
      </c>
      <c r="O35" s="5">
        <v>12</v>
      </c>
      <c r="P35" s="1"/>
    </row>
    <row r="36" spans="1:16" ht="15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 t="s">
        <v>65</v>
      </c>
      <c r="O36" s="5">
        <v>5</v>
      </c>
      <c r="P36" s="1"/>
    </row>
    <row r="37" spans="1:16" ht="15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1"/>
    </row>
    <row r="38" spans="1:16" ht="15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1"/>
    </row>
    <row r="39" spans="1:16" ht="18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5" t="s">
        <v>66</v>
      </c>
      <c r="O39" s="15"/>
      <c r="P39" s="1"/>
    </row>
    <row r="40" spans="1:16" ht="15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 t="s">
        <v>67</v>
      </c>
      <c r="O40" s="5" t="s">
        <v>68</v>
      </c>
      <c r="P40" s="1"/>
    </row>
    <row r="41" spans="1:16" ht="15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 t="s">
        <v>69</v>
      </c>
      <c r="O41" s="5" t="s">
        <v>70</v>
      </c>
      <c r="P41" s="1"/>
    </row>
    <row r="42" spans="1:16" ht="15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 t="s">
        <v>71</v>
      </c>
      <c r="O42" s="5" t="s">
        <v>5</v>
      </c>
      <c r="P42" s="1"/>
    </row>
    <row r="43" spans="1:16" ht="15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 t="s">
        <v>72</v>
      </c>
      <c r="O43" s="5" t="s">
        <v>7</v>
      </c>
      <c r="P43" s="1"/>
    </row>
    <row r="44" spans="1:16" ht="15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 t="s">
        <v>73</v>
      </c>
      <c r="O44" s="10">
        <v>0.71</v>
      </c>
      <c r="P44" s="1"/>
    </row>
    <row r="45" spans="1:16" ht="15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 t="s">
        <v>74</v>
      </c>
      <c r="O45" s="10">
        <v>0.74</v>
      </c>
      <c r="P45" s="1"/>
    </row>
    <row r="46" spans="1:16" ht="15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P46" s="1"/>
    </row>
    <row r="47" spans="1:16" ht="15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P47" s="1"/>
    </row>
    <row r="48" spans="1:16" ht="15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P48" s="1"/>
    </row>
    <row r="49" spans="1:16" ht="15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P49" s="1"/>
    </row>
    <row r="50" spans="1:16" ht="15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P50" s="1"/>
    </row>
    <row r="51" spans="1:16" ht="15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P51" s="1"/>
    </row>
    <row r="52" spans="1:16" ht="15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P52" s="1"/>
    </row>
    <row r="53" spans="1:16" ht="15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</sheetData>
  <sortState xmlns:xlrd2="http://schemas.microsoft.com/office/spreadsheetml/2017/richdata2" ref="N15:O31">
    <sortCondition descending="1" ref="O15:O31"/>
  </sortState>
  <mergeCells count="12">
    <mergeCell ref="N39:O39"/>
    <mergeCell ref="B5:D7"/>
    <mergeCell ref="F5:H7"/>
    <mergeCell ref="J5:L7"/>
    <mergeCell ref="B9:D11"/>
    <mergeCell ref="F9:H11"/>
    <mergeCell ref="J9:L11"/>
    <mergeCell ref="B1:O1"/>
    <mergeCell ref="B3:L3"/>
    <mergeCell ref="N3:O3"/>
    <mergeCell ref="N13:O13"/>
    <mergeCell ref="B14:L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Record Sheet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Okechukwu Charles</dc:creator>
  <cp:lastModifiedBy>Okechukwu Charles</cp:lastModifiedBy>
  <dcterms:created xsi:type="dcterms:W3CDTF">2026-02-13T10:13:00Z</dcterms:created>
  <dcterms:modified xsi:type="dcterms:W3CDTF">2026-07-14T12:17:20Z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85C4657122064EE786E79A1D701E0060_12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